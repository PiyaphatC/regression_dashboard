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la.sharepoint.com/sites/M-appGroup2/Shared Documents/CUTI-Research/On-going Projects/OTP - PTSE/Report/Accessibility/"/>
    </mc:Choice>
  </mc:AlternateContent>
  <xr:revisionPtr revIDLastSave="3" documentId="8_{21714FC4-2CB1-4973-8D5F-6C55444FA794}" xr6:coauthVersionLast="47" xr6:coauthVersionMax="47" xr10:uidLastSave="{B422C1BA-2055-4ECF-8002-85DD20F6A4A0}"/>
  <bookViews>
    <workbookView xWindow="-120" yWindow="-120" windowWidth="29040" windowHeight="15720" activeTab="1" xr2:uid="{033239AD-AAAC-4C19-A2E4-1C866FFF4F06}"/>
  </bookViews>
  <sheets>
    <sheet name="รวม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1" i="2"/>
  <c r="AD1" i="1"/>
  <c r="AA1" i="1"/>
  <c r="X1" i="1"/>
  <c r="U1" i="1"/>
  <c r="R1" i="1"/>
  <c r="O1" i="1"/>
  <c r="L1" i="1"/>
  <c r="I1" i="1"/>
  <c r="F1" i="1"/>
  <c r="C1" i="1"/>
</calcChain>
</file>

<file path=xl/sharedStrings.xml><?xml version="1.0" encoding="utf-8"?>
<sst xmlns="http://schemas.openxmlformats.org/spreadsheetml/2006/main" count="440" uniqueCount="397">
  <si>
    <t>สายสีแดงเข้ม (N-S)</t>
  </si>
  <si>
    <t>สายสีแดงอ่อน (E-W)</t>
  </si>
  <si>
    <t>ARL</t>
  </si>
  <si>
    <t>สายสีเขียว (สายสุขุมวิท)</t>
  </si>
  <si>
    <t>สายสีเขียว (สายสีลม)</t>
  </si>
  <si>
    <t>สายสีน้ำเงิน</t>
  </si>
  <si>
    <t>สายสีม่วง</t>
  </si>
  <si>
    <t>สายสีชมพู</t>
  </si>
  <si>
    <t>สายสีเหลือง</t>
  </si>
  <si>
    <t>สายสีทอง</t>
  </si>
  <si>
    <t>sta. code</t>
  </si>
  <si>
    <t>สถานี</t>
  </si>
  <si>
    <t>Entry</t>
  </si>
  <si>
    <t>RN01</t>
  </si>
  <si>
    <t>กรุงเทพอภิวัฒน์</t>
  </si>
  <si>
    <t>RW01</t>
  </si>
  <si>
    <t>A01</t>
  </si>
  <si>
    <t>ท่าอากาศยานสุวรรณภูมิ</t>
  </si>
  <si>
    <t>N24</t>
  </si>
  <si>
    <t>คูคต</t>
  </si>
  <si>
    <t>W01</t>
  </si>
  <si>
    <t>สนามกีฬาแห่งชาติ</t>
  </si>
  <si>
    <t>BL01</t>
  </si>
  <si>
    <t xml:space="preserve">ท่าพระ </t>
  </si>
  <si>
    <t>PP01</t>
  </si>
  <si>
    <t>คลองบางไผ่</t>
  </si>
  <si>
    <t>PK01</t>
  </si>
  <si>
    <t>ศูนย์ราชการนนทบุรี</t>
  </si>
  <si>
    <t>YL01</t>
  </si>
  <si>
    <t>ลาดพร้าว</t>
  </si>
  <si>
    <t>G01</t>
  </si>
  <si>
    <t>กรุงธนบุรี</t>
  </si>
  <si>
    <t>RN02</t>
  </si>
  <si>
    <t>จตุจักร</t>
  </si>
  <si>
    <t>RW02</t>
  </si>
  <si>
    <t>บางซ่อน</t>
  </si>
  <si>
    <t>A02</t>
  </si>
  <si>
    <t>ลาดกระบัง</t>
  </si>
  <si>
    <t>N23</t>
  </si>
  <si>
    <t>แยก คปอ.</t>
  </si>
  <si>
    <t>S01</t>
  </si>
  <si>
    <t>ราชดำริ</t>
  </si>
  <si>
    <t>BL02</t>
  </si>
  <si>
    <t>จรัญฯ 13</t>
  </si>
  <si>
    <t>PP02</t>
  </si>
  <si>
    <t>ตลาดบางใหญ่</t>
  </si>
  <si>
    <t>PK02</t>
  </si>
  <si>
    <t>แคราย</t>
  </si>
  <si>
    <t>YL02</t>
  </si>
  <si>
    <t>ภาวนา</t>
  </si>
  <si>
    <t>G02</t>
  </si>
  <si>
    <t>เจริญนคร</t>
  </si>
  <si>
    <t>RN03</t>
  </si>
  <si>
    <t>วัดเสมียนนารี</t>
  </si>
  <si>
    <t>RW05</t>
  </si>
  <si>
    <t>บางบำหรุ</t>
  </si>
  <si>
    <t>A03</t>
  </si>
  <si>
    <t>บ้านทับช้าง</t>
  </si>
  <si>
    <t>N22</t>
  </si>
  <si>
    <t>พิพิธภัณฑ์กองทัพอากาศ</t>
  </si>
  <si>
    <t>S02</t>
  </si>
  <si>
    <t>ศาลาแดง</t>
  </si>
  <si>
    <t>BL03</t>
  </si>
  <si>
    <t>ไฟฉาย</t>
  </si>
  <si>
    <t>PP03</t>
  </si>
  <si>
    <t>สามแยกบางใหญ่</t>
  </si>
  <si>
    <t>PK03</t>
  </si>
  <si>
    <t>สนามบินน้ำ</t>
  </si>
  <si>
    <t>YL03</t>
  </si>
  <si>
    <t>โชคชัย 4</t>
  </si>
  <si>
    <t>G03</t>
  </si>
  <si>
    <t>คลองสาน</t>
  </si>
  <si>
    <t>RN04</t>
  </si>
  <si>
    <t>บางเขน</t>
  </si>
  <si>
    <t>RW06</t>
  </si>
  <si>
    <t>ตลิ่งชัน</t>
  </si>
  <si>
    <t>A04</t>
  </si>
  <si>
    <t>หัวหมาก</t>
  </si>
  <si>
    <t>N21</t>
  </si>
  <si>
    <t>โรงพยาบาลภูมิพลอดุลยเดช</t>
  </si>
  <si>
    <t>S03</t>
  </si>
  <si>
    <t>ช่องนนทรี</t>
  </si>
  <si>
    <t>BL04</t>
  </si>
  <si>
    <t>บางขุนนนท์</t>
  </si>
  <si>
    <t>PP04</t>
  </si>
  <si>
    <t>บางพลู</t>
  </si>
  <si>
    <t>PK04</t>
  </si>
  <si>
    <t>สามัคคี</t>
  </si>
  <si>
    <t>YL04</t>
  </si>
  <si>
    <t>ลาดพร้าว 71</t>
  </si>
  <si>
    <t>กทม., ข้อมูลเฉลี่ยวันทำงาน พ.ย. 67</t>
  </si>
  <si>
    <t>RN05</t>
  </si>
  <si>
    <t>ทุ่งสองห้อง</t>
  </si>
  <si>
    <t>ขร., ข้อมูลเฉลี่ยวันทำงาน ม.ค. 68</t>
  </si>
  <si>
    <t>A05</t>
  </si>
  <si>
    <t>รามคำแหง</t>
  </si>
  <si>
    <t>N20</t>
  </si>
  <si>
    <t>สะพานใหม่</t>
  </si>
  <si>
    <t>S04</t>
  </si>
  <si>
    <t>เซนต์หลุยซ์</t>
  </si>
  <si>
    <t>BL05</t>
  </si>
  <si>
    <t>บางยี่ขัน</t>
  </si>
  <si>
    <t>PP05</t>
  </si>
  <si>
    <t>บางรักใหญ่</t>
  </si>
  <si>
    <t>PK05</t>
  </si>
  <si>
    <t>กรมชลประทาน</t>
  </si>
  <si>
    <t>YL05</t>
  </si>
  <si>
    <t>ลาดพร้าว 83</t>
  </si>
  <si>
    <t>RN06</t>
  </si>
  <si>
    <t>หลักสี่</t>
  </si>
  <si>
    <t>A06</t>
  </si>
  <si>
    <t>มักกะสัน</t>
  </si>
  <si>
    <t>N19</t>
  </si>
  <si>
    <t>สายหยุด</t>
  </si>
  <si>
    <t>S05</t>
  </si>
  <si>
    <t>สุรศักดิ์</t>
  </si>
  <si>
    <t>BL06</t>
  </si>
  <si>
    <t>สิรินธร</t>
  </si>
  <si>
    <t>PP06</t>
  </si>
  <si>
    <t>บางรักน้อยท่าอิฐ</t>
  </si>
  <si>
    <t>PK06</t>
  </si>
  <si>
    <t>แยกปากเกร็ด</t>
  </si>
  <si>
    <t>YL06</t>
  </si>
  <si>
    <t>มหาดไทย</t>
  </si>
  <si>
    <t>RN07</t>
  </si>
  <si>
    <t>การเคหะฯ</t>
  </si>
  <si>
    <t>A07</t>
  </si>
  <si>
    <t>ราชปรารภ</t>
  </si>
  <si>
    <t>N18</t>
  </si>
  <si>
    <t>พหลโยธิน 59</t>
  </si>
  <si>
    <t>S06</t>
  </si>
  <si>
    <t>สะพานตากสิน</t>
  </si>
  <si>
    <t>BL07</t>
  </si>
  <si>
    <t>บางพลัด</t>
  </si>
  <si>
    <t>PP07</t>
  </si>
  <si>
    <t>ไทรม้า</t>
  </si>
  <si>
    <t>PK07</t>
  </si>
  <si>
    <t>เลี่ยงเมืองปากเกร็ด</t>
  </si>
  <si>
    <t>YL07</t>
  </si>
  <si>
    <t>ลาดพร้าว 101</t>
  </si>
  <si>
    <t>RN08</t>
  </si>
  <si>
    <t>ดอนเมือง</t>
  </si>
  <si>
    <t>A08</t>
  </si>
  <si>
    <t>พญาไท</t>
  </si>
  <si>
    <t>N17</t>
  </si>
  <si>
    <t>วัดพระศรีมหาธาตุ</t>
  </si>
  <si>
    <t>S07</t>
  </si>
  <si>
    <t>BL08</t>
  </si>
  <si>
    <t>บางอ้อ</t>
  </si>
  <si>
    <t>PP08</t>
  </si>
  <si>
    <t>สะพานพระนั่งเกล้า</t>
  </si>
  <si>
    <t>PK08</t>
  </si>
  <si>
    <t xml:space="preserve">แจ้งวัฒนะ-ปากเกร็ด 28 </t>
  </si>
  <si>
    <t>YL08</t>
  </si>
  <si>
    <t>บางกะปิ</t>
  </si>
  <si>
    <t>RN09</t>
  </si>
  <si>
    <t>หลักหก</t>
  </si>
  <si>
    <t>ขร., ข้อมูลเฉลี่ยวันทำงาน ก.พ. 68</t>
  </si>
  <si>
    <t>N16</t>
  </si>
  <si>
    <t>กรมทหารราบที่ 11</t>
  </si>
  <si>
    <t>S08</t>
  </si>
  <si>
    <t>วงเวียนใหญ่</t>
  </si>
  <si>
    <t>BL09</t>
  </si>
  <si>
    <t>บางโพ</t>
  </si>
  <si>
    <t>PP09</t>
  </si>
  <si>
    <t>แยกนนทบุรี 1</t>
  </si>
  <si>
    <t>PK09</t>
  </si>
  <si>
    <t>ศรีรัช</t>
  </si>
  <si>
    <t>YL09</t>
  </si>
  <si>
    <t>แยกลำสาลี</t>
  </si>
  <si>
    <t>RN10</t>
  </si>
  <si>
    <t>รังสิต</t>
  </si>
  <si>
    <t>N15</t>
  </si>
  <si>
    <t>บางบัว</t>
  </si>
  <si>
    <t>S09</t>
  </si>
  <si>
    <t>โพธิ์นิมิตร</t>
  </si>
  <si>
    <t>BL10</t>
  </si>
  <si>
    <t>เตาปูน</t>
  </si>
  <si>
    <t>-</t>
  </si>
  <si>
    <t>PP10</t>
  </si>
  <si>
    <t>บางกระสอ</t>
  </si>
  <si>
    <t>PK10</t>
  </si>
  <si>
    <t>เมืองทองธานี</t>
  </si>
  <si>
    <t>YL10</t>
  </si>
  <si>
    <t>ศรีกรีฑา</t>
  </si>
  <si>
    <t>N14</t>
  </si>
  <si>
    <t>กรมป่าไม้</t>
  </si>
  <si>
    <t>S10</t>
  </si>
  <si>
    <t>ตลาดพลู</t>
  </si>
  <si>
    <t>BL11</t>
  </si>
  <si>
    <t>บางซื่อ</t>
  </si>
  <si>
    <t>PP11</t>
  </si>
  <si>
    <t>PK11</t>
  </si>
  <si>
    <t>แจ้งวัฒนะ 14</t>
  </si>
  <si>
    <t>YL11</t>
  </si>
  <si>
    <t>N13</t>
  </si>
  <si>
    <t>มหาวิทยาลัยเกษตรศาสตร์</t>
  </si>
  <si>
    <t>S11</t>
  </si>
  <si>
    <t>วุฒากาศ</t>
  </si>
  <si>
    <t>BL12</t>
  </si>
  <si>
    <t>กำแพงเพชร</t>
  </si>
  <si>
    <t>PP12</t>
  </si>
  <si>
    <t>กระทรวงสาธารณสุข</t>
  </si>
  <si>
    <t>PK12</t>
  </si>
  <si>
    <t>ศูนย์ราชการเฉลิมพระเกียรติ</t>
  </si>
  <si>
    <t>YL12</t>
  </si>
  <si>
    <t>กลันตัน</t>
  </si>
  <si>
    <t>N12</t>
  </si>
  <si>
    <t>เสนานิคม</t>
  </si>
  <si>
    <t>S12</t>
  </si>
  <si>
    <t>บางหว้า</t>
  </si>
  <si>
    <t>BL13</t>
  </si>
  <si>
    <t>สวนจตุจักร</t>
  </si>
  <si>
    <t>PP13</t>
  </si>
  <si>
    <t>แยกติวานนท์</t>
  </si>
  <si>
    <t>PK13</t>
  </si>
  <si>
    <t>โทรคมนาคมแห่งชาติ</t>
  </si>
  <si>
    <t>YL13</t>
  </si>
  <si>
    <t>ศรีนุช</t>
  </si>
  <si>
    <t>N11</t>
  </si>
  <si>
    <t>รัชโยธิน</t>
  </si>
  <si>
    <t>กทม., ข้อมูลวันที่ 9 ม.ค. 68 (วันทำงาน)</t>
  </si>
  <si>
    <t>BL14</t>
  </si>
  <si>
    <t>พหลโยธิน</t>
  </si>
  <si>
    <t>PP14</t>
  </si>
  <si>
    <t>วงศ์สว่าง</t>
  </si>
  <si>
    <t>PK14</t>
  </si>
  <si>
    <t>YL14</t>
  </si>
  <si>
    <t>ศรีนครินทร์ 38</t>
  </si>
  <si>
    <t>ที่มาของทุกสายให้ระบุปี 2568 ไม่ต้องใส่เดือน</t>
  </si>
  <si>
    <t>N10</t>
  </si>
  <si>
    <t>พหลโยธิน 24</t>
  </si>
  <si>
    <t>BL15</t>
  </si>
  <si>
    <t>PP15</t>
  </si>
  <si>
    <t>PK15</t>
  </si>
  <si>
    <t>ราชภัฏพระนคร</t>
  </si>
  <si>
    <t>YL15</t>
  </si>
  <si>
    <t>สวนหลวง ร.9</t>
  </si>
  <si>
    <t>N9</t>
  </si>
  <si>
    <t>ห้าแยกลาดพร้าว</t>
  </si>
  <si>
    <t>BL16</t>
  </si>
  <si>
    <t>รัชดาภิเษก</t>
  </si>
  <si>
    <t>PP16</t>
  </si>
  <si>
    <t>PK16</t>
  </si>
  <si>
    <t>YL16</t>
  </si>
  <si>
    <t>ศรีอุดม</t>
  </si>
  <si>
    <t>N8</t>
  </si>
  <si>
    <t>หมอชิต</t>
  </si>
  <si>
    <t>BL17</t>
  </si>
  <si>
    <t>สุทธิสาร</t>
  </si>
  <si>
    <t>รฟม., ข้อมูลเฉลี่ยวันทำงาน ม.ค. - เม.ย. 68</t>
  </si>
  <si>
    <t>PK17</t>
  </si>
  <si>
    <t>รามอินทรา 3</t>
  </si>
  <si>
    <t>YL17</t>
  </si>
  <si>
    <t>ศรีเอี่ยม</t>
  </si>
  <si>
    <t>N7</t>
  </si>
  <si>
    <t>สะพานควาย</t>
  </si>
  <si>
    <t>BL18</t>
  </si>
  <si>
    <t>ห้วยขวาง</t>
  </si>
  <si>
    <t>PK18</t>
  </si>
  <si>
    <t>ลาดปลาเค้า</t>
  </si>
  <si>
    <t>YL18</t>
  </si>
  <si>
    <t>ศรีลาซาล</t>
  </si>
  <si>
    <t>N5</t>
  </si>
  <si>
    <t>อารีย์</t>
  </si>
  <si>
    <t>BL19</t>
  </si>
  <si>
    <t>ศูนย์วัฒนธรรมแห่งประเทศไทย</t>
  </si>
  <si>
    <t>PK19</t>
  </si>
  <si>
    <t>รามอินทรา กม.4</t>
  </si>
  <si>
    <t>YL19</t>
  </si>
  <si>
    <t>ศรีแบริ่ง</t>
  </si>
  <si>
    <t>N4</t>
  </si>
  <si>
    <t>สนามเป้า</t>
  </si>
  <si>
    <t>BL20</t>
  </si>
  <si>
    <t>พระราม9</t>
  </si>
  <si>
    <t>PK20</t>
  </si>
  <si>
    <t>มัยลาภ</t>
  </si>
  <si>
    <t>YL20</t>
  </si>
  <si>
    <t>ศรีด่าน</t>
  </si>
  <si>
    <t>N3</t>
  </si>
  <si>
    <t>อนุสาวรีย์ชัยสมรภูมิ</t>
  </si>
  <si>
    <t>BL21</t>
  </si>
  <si>
    <t>เพชรบุรี</t>
  </si>
  <si>
    <t>PK21</t>
  </si>
  <si>
    <t>วัชรพล</t>
  </si>
  <si>
    <t>YL21</t>
  </si>
  <si>
    <t>ศรีเทพา</t>
  </si>
  <si>
    <t>N2</t>
  </si>
  <si>
    <t>BL22</t>
  </si>
  <si>
    <t>สุขุมวิท</t>
  </si>
  <si>
    <t>PK22</t>
  </si>
  <si>
    <t>รามอินทรา กม.6</t>
  </si>
  <si>
    <t>YL22</t>
  </si>
  <si>
    <t>ทิพวัล</t>
  </si>
  <si>
    <t>N1</t>
  </si>
  <si>
    <t>ราชเทวี</t>
  </si>
  <si>
    <t>BL23</t>
  </si>
  <si>
    <t>ศูนย์ประชุมแห่งชาติสิริกิติ์</t>
  </si>
  <si>
    <t>PK23</t>
  </si>
  <si>
    <t>คู้บอน</t>
  </si>
  <si>
    <t>YL23</t>
  </si>
  <si>
    <t>สำโรง</t>
  </si>
  <si>
    <t>CEN</t>
  </si>
  <si>
    <t>สยาม</t>
  </si>
  <si>
    <t>BL24</t>
  </si>
  <si>
    <t>คลองเตย</t>
  </si>
  <si>
    <t>PK24</t>
  </si>
  <si>
    <t>รามอินทรา กม.9</t>
  </si>
  <si>
    <t>E1</t>
  </si>
  <si>
    <t>ชิดลม</t>
  </si>
  <si>
    <t>BL25</t>
  </si>
  <si>
    <t>สวนลุมพินี</t>
  </si>
  <si>
    <t>PK25</t>
  </si>
  <si>
    <t>วงแหวนรามอินทรา</t>
  </si>
  <si>
    <t>E2</t>
  </si>
  <si>
    <t>เพลินจิต</t>
  </si>
  <si>
    <t>BL26</t>
  </si>
  <si>
    <t>สีลม</t>
  </si>
  <si>
    <t>PK26</t>
  </si>
  <si>
    <t>นพรัตน์</t>
  </si>
  <si>
    <t>E3</t>
  </si>
  <si>
    <t>นานา</t>
  </si>
  <si>
    <t>BL27</t>
  </si>
  <si>
    <t>สามย่าน</t>
  </si>
  <si>
    <t>PK27</t>
  </si>
  <si>
    <t>บางชัน</t>
  </si>
  <si>
    <t>E4</t>
  </si>
  <si>
    <t>อโศก</t>
  </si>
  <si>
    <t>BL28</t>
  </si>
  <si>
    <t>หัวลำโพง</t>
  </si>
  <si>
    <t>PK28</t>
  </si>
  <si>
    <t>เศรษฐบุตรบำเพ็ญ</t>
  </si>
  <si>
    <t>E5</t>
  </si>
  <si>
    <t>พร้อมพงษ์</t>
  </si>
  <si>
    <t>BL29</t>
  </si>
  <si>
    <t>วัดมังกร</t>
  </si>
  <si>
    <t>PK29</t>
  </si>
  <si>
    <t>ตลาดมีนบุรี</t>
  </si>
  <si>
    <t>E6</t>
  </si>
  <si>
    <t>ทองหล่อ</t>
  </si>
  <si>
    <t>BL30</t>
  </si>
  <si>
    <t>สามยอด</t>
  </si>
  <si>
    <t>PK30</t>
  </si>
  <si>
    <t>มีนบุรี</t>
  </si>
  <si>
    <t>E7</t>
  </si>
  <si>
    <t>เอกมัย</t>
  </si>
  <si>
    <t>BL31</t>
  </si>
  <si>
    <t>สนามไชย</t>
  </si>
  <si>
    <t>MT01</t>
  </si>
  <si>
    <t>อิมแพ็ค เมืองทองธานี</t>
  </si>
  <si>
    <t>E8</t>
  </si>
  <si>
    <t>พระโขนง</t>
  </si>
  <si>
    <t>BL32</t>
  </si>
  <si>
    <t>อิสรภาพ</t>
  </si>
  <si>
    <t>MT02</t>
  </si>
  <si>
    <t>ทะเลสาบเมืองทองธานี</t>
  </si>
  <si>
    <t>E9</t>
  </si>
  <si>
    <t>อ่อนนุช</t>
  </si>
  <si>
    <t>BL33</t>
  </si>
  <si>
    <t>บางไผ่</t>
  </si>
  <si>
    <t>รฟม., ข้อมูลเฉลี่ยวันทำงาน ต.ค. - ธ.ค. 68</t>
  </si>
  <si>
    <t>E10</t>
  </si>
  <si>
    <t>บางจาก</t>
  </si>
  <si>
    <t>BL34</t>
  </si>
  <si>
    <t>E11</t>
  </si>
  <si>
    <t>ปุณณวิถี</t>
  </si>
  <si>
    <t>BL35</t>
  </si>
  <si>
    <t>เพชรเกษม 48</t>
  </si>
  <si>
    <t>E12</t>
  </si>
  <si>
    <t>อุดมสุข</t>
  </si>
  <si>
    <t>BL36</t>
  </si>
  <si>
    <t>ภาษีเจริญ</t>
  </si>
  <si>
    <t>E13</t>
  </si>
  <si>
    <t>บางนา</t>
  </si>
  <si>
    <t>BL37</t>
  </si>
  <si>
    <t>บางแค</t>
  </si>
  <si>
    <t>E14</t>
  </si>
  <si>
    <t>แบริ่ง</t>
  </si>
  <si>
    <t>BL38</t>
  </si>
  <si>
    <t>หลักสอง</t>
  </si>
  <si>
    <t>E15</t>
  </si>
  <si>
    <t>E16</t>
  </si>
  <si>
    <t>ปู่เจ้าสมิงพราย</t>
  </si>
  <si>
    <t>E17</t>
  </si>
  <si>
    <t>พิพิธภัณฑ์ช้างเอราวัณ</t>
  </si>
  <si>
    <t>E18</t>
  </si>
  <si>
    <t>โรงเรียนนายเรือ</t>
  </si>
  <si>
    <t>E19</t>
  </si>
  <si>
    <t>ปากน้ำ</t>
  </si>
  <si>
    <t>E20</t>
  </si>
  <si>
    <t>ศรีนครินทร์</t>
  </si>
  <si>
    <t>E21</t>
  </si>
  <si>
    <t>แพรกษา</t>
  </si>
  <si>
    <t>E22</t>
  </si>
  <si>
    <t>สายลวด</t>
  </si>
  <si>
    <t>E23</t>
  </si>
  <si>
    <t>เคหะสมุทรปราการ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</si>
</sst>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9979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3" fontId="1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3" fontId="1" fillId="4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3" fontId="1" fillId="5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3" fontId="1" fillId="6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3" fontId="1" fillId="7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0" fontId="1" fillId="9" borderId="0" xfId="0" applyFont="1" applyFill="1" applyAlignment="1">
      <alignment horizontal="center"/>
    </xf>
    <xf numFmtId="3" fontId="1" fillId="9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3" fontId="1" fillId="1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AA8F-EA71-4DAA-A195-170272268F86}">
  <dimension ref="A1:AD50"/>
  <sheetViews>
    <sheetView topLeftCell="Q1" zoomScaleNormal="100" workbookViewId="0">
      <selection activeCell="L3" sqref="L3:L49"/>
    </sheetView>
  </sheetViews>
  <sheetFormatPr defaultRowHeight="15" x14ac:dyDescent="0.25"/>
  <cols>
    <col min="1" max="1" width="8.85546875" style="19"/>
    <col min="2" max="2" width="25.5703125" customWidth="1"/>
    <col min="3" max="3" width="14.7109375" style="29" customWidth="1"/>
    <col min="5" max="5" width="32.5703125" customWidth="1"/>
    <col min="6" max="7" width="16.28515625" customWidth="1"/>
    <col min="8" max="8" width="28.7109375" customWidth="1"/>
    <col min="9" max="9" width="12" customWidth="1"/>
    <col min="11" max="11" width="28.140625" customWidth="1"/>
    <col min="12" max="12" width="13.7109375" customWidth="1"/>
    <col min="14" max="14" width="31.28515625" customWidth="1"/>
    <col min="17" max="17" width="36" customWidth="1"/>
    <col min="18" max="18" width="14.28515625" customWidth="1"/>
    <col min="20" max="20" width="39.85546875" customWidth="1"/>
    <col min="21" max="21" width="13.85546875" customWidth="1"/>
    <col min="23" max="23" width="36.140625" customWidth="1"/>
    <col min="24" max="24" width="18.28515625" customWidth="1"/>
    <col min="26" max="26" width="26.28515625" customWidth="1"/>
    <col min="27" max="27" width="18" customWidth="1"/>
    <col min="29" max="29" width="20.85546875" customWidth="1"/>
  </cols>
  <sheetData>
    <row r="1" spans="1:30" s="19" customFormat="1" x14ac:dyDescent="0.25">
      <c r="A1" s="1">
        <v>1</v>
      </c>
      <c r="B1" s="1" t="s">
        <v>0</v>
      </c>
      <c r="C1" s="2">
        <f>SUM(C3:C49)</f>
        <v>30184.272727272728</v>
      </c>
      <c r="D1" s="3">
        <v>2</v>
      </c>
      <c r="E1" s="3" t="s">
        <v>1</v>
      </c>
      <c r="F1" s="4">
        <f>SUM(F3:F49)</f>
        <v>11438.363636363638</v>
      </c>
      <c r="G1" s="2">
        <v>3</v>
      </c>
      <c r="H1" s="2" t="s">
        <v>2</v>
      </c>
      <c r="I1" s="2">
        <f>SUM(I3:I49)</f>
        <v>79958.526315789481</v>
      </c>
      <c r="J1" s="5">
        <v>4</v>
      </c>
      <c r="K1" s="5" t="s">
        <v>3</v>
      </c>
      <c r="L1" s="6">
        <f>SUM(L3:L49)</f>
        <v>673642</v>
      </c>
      <c r="M1" s="7">
        <v>5</v>
      </c>
      <c r="N1" s="7" t="s">
        <v>4</v>
      </c>
      <c r="O1" s="8">
        <f>SUM(O3:O49)</f>
        <v>156691</v>
      </c>
      <c r="P1" s="9">
        <v>6</v>
      </c>
      <c r="Q1" s="9" t="s">
        <v>5</v>
      </c>
      <c r="R1" s="10">
        <f>SUM(R3:R49)</f>
        <v>463289</v>
      </c>
      <c r="S1" s="11">
        <v>7</v>
      </c>
      <c r="T1" s="11" t="s">
        <v>6</v>
      </c>
      <c r="U1" s="12">
        <f>SUM(U3:U49)</f>
        <v>57531</v>
      </c>
      <c r="V1" s="13">
        <v>9</v>
      </c>
      <c r="W1" s="13" t="s">
        <v>7</v>
      </c>
      <c r="X1" s="14">
        <f>SUM(X3:X49)</f>
        <v>54103</v>
      </c>
      <c r="Y1" s="15">
        <v>10</v>
      </c>
      <c r="Z1" s="15" t="s">
        <v>8</v>
      </c>
      <c r="AA1" s="16">
        <f>SUM(AA3:AA49)</f>
        <v>49559</v>
      </c>
      <c r="AB1" s="17">
        <v>13</v>
      </c>
      <c r="AC1" s="17" t="s">
        <v>9</v>
      </c>
      <c r="AD1" s="18">
        <f>SUM(AD3:AD49)</f>
        <v>8137.5909090909081</v>
      </c>
    </row>
    <row r="2" spans="1:30" s="19" customFormat="1" x14ac:dyDescent="0.25">
      <c r="A2" s="1" t="s">
        <v>10</v>
      </c>
      <c r="B2" s="1" t="s">
        <v>11</v>
      </c>
      <c r="C2" s="2" t="s">
        <v>12</v>
      </c>
      <c r="D2" s="3" t="s">
        <v>10</v>
      </c>
      <c r="E2" s="3" t="s">
        <v>11</v>
      </c>
      <c r="F2" s="4" t="s">
        <v>12</v>
      </c>
      <c r="G2" s="1" t="s">
        <v>10</v>
      </c>
      <c r="H2" s="1" t="s">
        <v>11</v>
      </c>
      <c r="I2" s="2" t="s">
        <v>12</v>
      </c>
      <c r="J2" s="5" t="s">
        <v>10</v>
      </c>
      <c r="K2" s="5" t="s">
        <v>11</v>
      </c>
      <c r="L2" s="6" t="s">
        <v>12</v>
      </c>
      <c r="M2" s="7" t="s">
        <v>10</v>
      </c>
      <c r="N2" s="7" t="s">
        <v>11</v>
      </c>
      <c r="O2" s="8" t="s">
        <v>12</v>
      </c>
      <c r="P2" s="9" t="s">
        <v>10</v>
      </c>
      <c r="Q2" s="9" t="s">
        <v>11</v>
      </c>
      <c r="R2" s="10" t="s">
        <v>12</v>
      </c>
      <c r="S2" s="11" t="s">
        <v>10</v>
      </c>
      <c r="T2" s="11" t="s">
        <v>11</v>
      </c>
      <c r="U2" s="12" t="s">
        <v>12</v>
      </c>
      <c r="V2" s="13" t="s">
        <v>10</v>
      </c>
      <c r="W2" s="13" t="s">
        <v>11</v>
      </c>
      <c r="X2" s="14" t="s">
        <v>12</v>
      </c>
      <c r="Y2" s="15" t="s">
        <v>10</v>
      </c>
      <c r="Z2" s="15" t="s">
        <v>11</v>
      </c>
      <c r="AA2" s="16" t="s">
        <v>12</v>
      </c>
      <c r="AB2" s="17" t="s">
        <v>10</v>
      </c>
      <c r="AC2" s="17" t="s">
        <v>11</v>
      </c>
      <c r="AD2" s="18" t="s">
        <v>12</v>
      </c>
    </row>
    <row r="3" spans="1:30" x14ac:dyDescent="0.25">
      <c r="A3" s="20" t="s">
        <v>13</v>
      </c>
      <c r="B3" s="21" t="s">
        <v>14</v>
      </c>
      <c r="C3" s="22">
        <v>9347.636363636364</v>
      </c>
      <c r="D3" s="20" t="s">
        <v>15</v>
      </c>
      <c r="E3" s="21" t="s">
        <v>14</v>
      </c>
      <c r="F3" s="22">
        <v>9347.636363636364</v>
      </c>
      <c r="G3" s="19" t="s">
        <v>16</v>
      </c>
      <c r="H3" t="s">
        <v>17</v>
      </c>
      <c r="I3" s="22">
        <v>15364.736842105263</v>
      </c>
      <c r="J3" s="23" t="s">
        <v>18</v>
      </c>
      <c r="K3" s="24" t="s">
        <v>19</v>
      </c>
      <c r="L3" s="22">
        <v>16201</v>
      </c>
      <c r="M3" s="23" t="s">
        <v>20</v>
      </c>
      <c r="N3" s="24" t="s">
        <v>21</v>
      </c>
      <c r="O3" s="22">
        <v>14103</v>
      </c>
      <c r="P3" s="20" t="s">
        <v>22</v>
      </c>
      <c r="Q3" s="21" t="s">
        <v>23</v>
      </c>
      <c r="R3" s="22">
        <v>8544</v>
      </c>
      <c r="S3" s="19" t="s">
        <v>24</v>
      </c>
      <c r="T3" t="s">
        <v>25</v>
      </c>
      <c r="U3" s="22">
        <v>6697</v>
      </c>
      <c r="V3" s="20" t="s">
        <v>26</v>
      </c>
      <c r="W3" s="21" t="s">
        <v>27</v>
      </c>
      <c r="X3" s="22">
        <v>3117</v>
      </c>
      <c r="Y3" s="21" t="s">
        <v>28</v>
      </c>
      <c r="Z3" s="21" t="s">
        <v>29</v>
      </c>
      <c r="AA3" s="22">
        <v>10796</v>
      </c>
      <c r="AB3" s="20" t="s">
        <v>30</v>
      </c>
      <c r="AC3" s="21" t="s">
        <v>31</v>
      </c>
      <c r="AD3" s="22">
        <v>3378.4545454545455</v>
      </c>
    </row>
    <row r="4" spans="1:30" x14ac:dyDescent="0.25">
      <c r="A4" s="19" t="s">
        <v>32</v>
      </c>
      <c r="B4" t="s">
        <v>33</v>
      </c>
      <c r="C4" s="22">
        <v>563.72727272727275</v>
      </c>
      <c r="D4" s="20" t="s">
        <v>34</v>
      </c>
      <c r="E4" s="21" t="s">
        <v>35</v>
      </c>
      <c r="F4" s="22">
        <v>519</v>
      </c>
      <c r="G4" s="19" t="s">
        <v>36</v>
      </c>
      <c r="H4" t="s">
        <v>37</v>
      </c>
      <c r="I4" s="22">
        <v>11388.578947368422</v>
      </c>
      <c r="J4" s="23" t="s">
        <v>38</v>
      </c>
      <c r="K4" s="24" t="s">
        <v>39</v>
      </c>
      <c r="L4" s="22">
        <v>11503</v>
      </c>
      <c r="M4" s="23" t="s">
        <v>40</v>
      </c>
      <c r="N4" s="24" t="s">
        <v>41</v>
      </c>
      <c r="O4" s="22">
        <v>3531</v>
      </c>
      <c r="P4" s="19" t="s">
        <v>42</v>
      </c>
      <c r="Q4" t="s">
        <v>43</v>
      </c>
      <c r="R4" s="22">
        <v>2973</v>
      </c>
      <c r="S4" s="19" t="s">
        <v>44</v>
      </c>
      <c r="T4" t="s">
        <v>45</v>
      </c>
      <c r="U4" s="22">
        <v>5427</v>
      </c>
      <c r="V4" s="19" t="s">
        <v>46</v>
      </c>
      <c r="W4" t="s">
        <v>47</v>
      </c>
      <c r="X4" s="22">
        <v>571</v>
      </c>
      <c r="Y4" t="s">
        <v>48</v>
      </c>
      <c r="Z4" t="s">
        <v>49</v>
      </c>
      <c r="AA4" s="22">
        <v>998</v>
      </c>
      <c r="AB4" s="20" t="s">
        <v>50</v>
      </c>
      <c r="AC4" s="21" t="s">
        <v>51</v>
      </c>
      <c r="AD4" s="22">
        <v>4314.954545454545</v>
      </c>
    </row>
    <row r="5" spans="1:30" x14ac:dyDescent="0.25">
      <c r="A5" s="19" t="s">
        <v>52</v>
      </c>
      <c r="B5" t="s">
        <v>53</v>
      </c>
      <c r="C5" s="22">
        <v>925.13636363636363</v>
      </c>
      <c r="D5" s="19" t="s">
        <v>54</v>
      </c>
      <c r="E5" t="s">
        <v>55</v>
      </c>
      <c r="F5" s="22">
        <v>582.4545454545455</v>
      </c>
      <c r="G5" s="19" t="s">
        <v>56</v>
      </c>
      <c r="H5" t="s">
        <v>57</v>
      </c>
      <c r="I5" s="22">
        <v>4367.7894736842109</v>
      </c>
      <c r="J5" s="23" t="s">
        <v>58</v>
      </c>
      <c r="K5" s="24" t="s">
        <v>59</v>
      </c>
      <c r="L5" s="22">
        <v>2976</v>
      </c>
      <c r="M5" s="23" t="s">
        <v>60</v>
      </c>
      <c r="N5" s="24" t="s">
        <v>61</v>
      </c>
      <c r="O5" s="22">
        <v>29675</v>
      </c>
      <c r="P5" s="19" t="s">
        <v>62</v>
      </c>
      <c r="Q5" t="s">
        <v>63</v>
      </c>
      <c r="R5" s="22">
        <v>3714</v>
      </c>
      <c r="S5" s="19" t="s">
        <v>64</v>
      </c>
      <c r="T5" t="s">
        <v>65</v>
      </c>
      <c r="U5" s="22">
        <v>1451</v>
      </c>
      <c r="V5" s="19" t="s">
        <v>66</v>
      </c>
      <c r="W5" t="s">
        <v>67</v>
      </c>
      <c r="X5" s="22">
        <v>639</v>
      </c>
      <c r="Y5" t="s">
        <v>68</v>
      </c>
      <c r="Z5" t="s">
        <v>69</v>
      </c>
      <c r="AA5" s="22">
        <v>1577</v>
      </c>
      <c r="AB5" s="19" t="s">
        <v>70</v>
      </c>
      <c r="AC5" t="s">
        <v>71</v>
      </c>
      <c r="AD5" s="22">
        <v>444.18181818181819</v>
      </c>
    </row>
    <row r="6" spans="1:30" x14ac:dyDescent="0.25">
      <c r="A6" s="19" t="s">
        <v>72</v>
      </c>
      <c r="B6" t="s">
        <v>73</v>
      </c>
      <c r="C6" s="22">
        <v>1666.5454545454545</v>
      </c>
      <c r="D6" s="19" t="s">
        <v>74</v>
      </c>
      <c r="E6" t="s">
        <v>75</v>
      </c>
      <c r="F6" s="22">
        <v>989.27272727272725</v>
      </c>
      <c r="G6" s="20" t="s">
        <v>76</v>
      </c>
      <c r="H6" s="21" t="s">
        <v>77</v>
      </c>
      <c r="I6" s="22">
        <v>7467.5789473684208</v>
      </c>
      <c r="J6" s="23" t="s">
        <v>78</v>
      </c>
      <c r="K6" s="24" t="s">
        <v>79</v>
      </c>
      <c r="L6" s="22">
        <v>2631</v>
      </c>
      <c r="M6" s="23" t="s">
        <v>80</v>
      </c>
      <c r="N6" s="24" t="s">
        <v>81</v>
      </c>
      <c r="O6" s="22">
        <v>21479</v>
      </c>
      <c r="P6" s="19" t="s">
        <v>82</v>
      </c>
      <c r="Q6" t="s">
        <v>83</v>
      </c>
      <c r="R6" s="22">
        <v>4985</v>
      </c>
      <c r="S6" s="19" t="s">
        <v>84</v>
      </c>
      <c r="T6" t="s">
        <v>85</v>
      </c>
      <c r="U6" s="22">
        <v>2194</v>
      </c>
      <c r="V6" s="19" t="s">
        <v>86</v>
      </c>
      <c r="W6" t="s">
        <v>87</v>
      </c>
      <c r="X6" s="22">
        <v>467</v>
      </c>
      <c r="Y6" t="s">
        <v>88</v>
      </c>
      <c r="Z6" t="s">
        <v>89</v>
      </c>
      <c r="AA6" s="22">
        <v>1648</v>
      </c>
      <c r="AB6" s="25" t="s">
        <v>90</v>
      </c>
    </row>
    <row r="7" spans="1:30" x14ac:dyDescent="0.25">
      <c r="A7" s="19" t="s">
        <v>91</v>
      </c>
      <c r="B7" t="s">
        <v>92</v>
      </c>
      <c r="C7" s="22">
        <v>533.5454545454545</v>
      </c>
      <c r="D7" s="25" t="s">
        <v>93</v>
      </c>
      <c r="G7" s="19" t="s">
        <v>94</v>
      </c>
      <c r="H7" t="s">
        <v>95</v>
      </c>
      <c r="I7" s="22">
        <v>7074.2105263157891</v>
      </c>
      <c r="J7" s="23" t="s">
        <v>96</v>
      </c>
      <c r="K7" s="24" t="s">
        <v>97</v>
      </c>
      <c r="L7" s="22">
        <v>10180</v>
      </c>
      <c r="M7" s="23" t="s">
        <v>98</v>
      </c>
      <c r="N7" s="24" t="s">
        <v>99</v>
      </c>
      <c r="O7" s="22">
        <v>7972</v>
      </c>
      <c r="P7" s="19" t="s">
        <v>100</v>
      </c>
      <c r="Q7" t="s">
        <v>101</v>
      </c>
      <c r="R7" s="22">
        <v>6399</v>
      </c>
      <c r="S7" s="19" t="s">
        <v>102</v>
      </c>
      <c r="T7" t="s">
        <v>103</v>
      </c>
      <c r="U7" s="22">
        <v>1065</v>
      </c>
      <c r="V7" s="19" t="s">
        <v>104</v>
      </c>
      <c r="W7" t="s">
        <v>105</v>
      </c>
      <c r="X7" s="22">
        <v>1085</v>
      </c>
      <c r="Y7" t="s">
        <v>106</v>
      </c>
      <c r="Z7" t="s">
        <v>107</v>
      </c>
      <c r="AA7" s="22">
        <v>2059</v>
      </c>
    </row>
    <row r="8" spans="1:30" x14ac:dyDescent="0.25">
      <c r="A8" s="20" t="s">
        <v>108</v>
      </c>
      <c r="B8" s="21" t="s">
        <v>109</v>
      </c>
      <c r="C8" s="22">
        <v>3758.2727272727275</v>
      </c>
      <c r="G8" s="20" t="s">
        <v>110</v>
      </c>
      <c r="H8" s="21" t="s">
        <v>111</v>
      </c>
      <c r="I8" s="22">
        <v>13594.78947368421</v>
      </c>
      <c r="J8" s="23" t="s">
        <v>112</v>
      </c>
      <c r="K8" s="24" t="s">
        <v>113</v>
      </c>
      <c r="L8" s="22">
        <v>8104</v>
      </c>
      <c r="M8" s="23" t="s">
        <v>114</v>
      </c>
      <c r="N8" s="24" t="s">
        <v>115</v>
      </c>
      <c r="O8" s="22">
        <v>10021</v>
      </c>
      <c r="P8" s="19" t="s">
        <v>116</v>
      </c>
      <c r="Q8" t="s">
        <v>117</v>
      </c>
      <c r="R8" s="22">
        <v>4476</v>
      </c>
      <c r="S8" s="19" t="s">
        <v>118</v>
      </c>
      <c r="T8" t="s">
        <v>119</v>
      </c>
      <c r="U8" s="22">
        <v>2440</v>
      </c>
      <c r="V8" s="19" t="s">
        <v>120</v>
      </c>
      <c r="W8" t="s">
        <v>121</v>
      </c>
      <c r="X8" s="22">
        <v>734</v>
      </c>
      <c r="Y8" t="s">
        <v>122</v>
      </c>
      <c r="Z8" t="s">
        <v>123</v>
      </c>
      <c r="AA8" s="22">
        <v>1624</v>
      </c>
    </row>
    <row r="9" spans="1:30" x14ac:dyDescent="0.25">
      <c r="A9" s="19" t="s">
        <v>124</v>
      </c>
      <c r="B9" t="s">
        <v>125</v>
      </c>
      <c r="C9" s="22">
        <v>731.68181818181813</v>
      </c>
      <c r="G9" s="19" t="s">
        <v>126</v>
      </c>
      <c r="H9" t="s">
        <v>127</v>
      </c>
      <c r="I9" s="22">
        <v>4550.6842105263158</v>
      </c>
      <c r="J9" s="23" t="s">
        <v>128</v>
      </c>
      <c r="K9" s="24" t="s">
        <v>129</v>
      </c>
      <c r="L9" s="22">
        <v>3991</v>
      </c>
      <c r="M9" s="23" t="s">
        <v>130</v>
      </c>
      <c r="N9" s="24" t="s">
        <v>131</v>
      </c>
      <c r="O9" s="22">
        <v>13908</v>
      </c>
      <c r="P9" s="19" t="s">
        <v>132</v>
      </c>
      <c r="Q9" t="s">
        <v>133</v>
      </c>
      <c r="R9" s="22">
        <v>2521</v>
      </c>
      <c r="S9" s="19" t="s">
        <v>134</v>
      </c>
      <c r="T9" t="s">
        <v>135</v>
      </c>
      <c r="U9" s="22">
        <v>2104</v>
      </c>
      <c r="V9" s="19" t="s">
        <v>136</v>
      </c>
      <c r="W9" t="s">
        <v>137</v>
      </c>
      <c r="X9" s="22">
        <v>1903</v>
      </c>
      <c r="Y9" t="s">
        <v>138</v>
      </c>
      <c r="Z9" t="s">
        <v>139</v>
      </c>
      <c r="AA9" s="22">
        <v>2267</v>
      </c>
    </row>
    <row r="10" spans="1:30" x14ac:dyDescent="0.25">
      <c r="A10" s="20" t="s">
        <v>140</v>
      </c>
      <c r="B10" s="21" t="s">
        <v>141</v>
      </c>
      <c r="C10" s="22">
        <v>6600</v>
      </c>
      <c r="G10" s="20" t="s">
        <v>142</v>
      </c>
      <c r="H10" s="21" t="s">
        <v>143</v>
      </c>
      <c r="I10" s="22">
        <v>16150.157894736842</v>
      </c>
      <c r="J10" s="23" t="s">
        <v>144</v>
      </c>
      <c r="K10" s="24" t="s">
        <v>145</v>
      </c>
      <c r="L10" s="22">
        <v>23791</v>
      </c>
      <c r="M10" s="23" t="s">
        <v>146</v>
      </c>
      <c r="N10" s="24" t="s">
        <v>31</v>
      </c>
      <c r="O10" s="22">
        <v>11356</v>
      </c>
      <c r="P10" s="19" t="s">
        <v>147</v>
      </c>
      <c r="Q10" t="s">
        <v>148</v>
      </c>
      <c r="R10" s="22">
        <v>4440</v>
      </c>
      <c r="S10" s="19" t="s">
        <v>149</v>
      </c>
      <c r="T10" t="s">
        <v>150</v>
      </c>
      <c r="U10" s="22">
        <v>2817</v>
      </c>
      <c r="V10" s="19" t="s">
        <v>151</v>
      </c>
      <c r="W10" t="s">
        <v>152</v>
      </c>
      <c r="X10" s="22">
        <v>4181</v>
      </c>
      <c r="Y10" t="s">
        <v>153</v>
      </c>
      <c r="Z10" t="s">
        <v>154</v>
      </c>
      <c r="AA10" s="22">
        <v>3820</v>
      </c>
    </row>
    <row r="11" spans="1:30" x14ac:dyDescent="0.25">
      <c r="A11" s="19" t="s">
        <v>155</v>
      </c>
      <c r="B11" t="s">
        <v>156</v>
      </c>
      <c r="C11" s="22">
        <v>1791.090909090909</v>
      </c>
      <c r="G11" s="25" t="s">
        <v>157</v>
      </c>
      <c r="J11" s="23" t="s">
        <v>158</v>
      </c>
      <c r="K11" s="24" t="s">
        <v>159</v>
      </c>
      <c r="L11" s="22">
        <v>5297</v>
      </c>
      <c r="M11" s="23" t="s">
        <v>160</v>
      </c>
      <c r="N11" s="24" t="s">
        <v>161</v>
      </c>
      <c r="O11" s="22">
        <v>8824</v>
      </c>
      <c r="P11" s="20" t="s">
        <v>162</v>
      </c>
      <c r="Q11" s="21" t="s">
        <v>163</v>
      </c>
      <c r="R11" s="22">
        <v>5028</v>
      </c>
      <c r="S11" s="19" t="s">
        <v>164</v>
      </c>
      <c r="T11" t="s">
        <v>165</v>
      </c>
      <c r="U11" s="22">
        <v>3261</v>
      </c>
      <c r="V11" s="19" t="s">
        <v>166</v>
      </c>
      <c r="W11" t="s">
        <v>167</v>
      </c>
      <c r="X11" s="22">
        <v>1083</v>
      </c>
      <c r="Y11" t="s">
        <v>168</v>
      </c>
      <c r="Z11" t="s">
        <v>169</v>
      </c>
      <c r="AA11" s="22">
        <v>2578</v>
      </c>
    </row>
    <row r="12" spans="1:30" x14ac:dyDescent="0.25">
      <c r="A12" s="19" t="s">
        <v>170</v>
      </c>
      <c r="B12" t="s">
        <v>171</v>
      </c>
      <c r="C12" s="22">
        <v>4266.636363636364</v>
      </c>
      <c r="J12" s="23" t="s">
        <v>172</v>
      </c>
      <c r="K12" s="24" t="s">
        <v>173</v>
      </c>
      <c r="L12" s="22">
        <v>8717</v>
      </c>
      <c r="M12" s="23" t="s">
        <v>174</v>
      </c>
      <c r="N12" s="24" t="s">
        <v>175</v>
      </c>
      <c r="O12" s="22">
        <v>2602</v>
      </c>
      <c r="P12" s="26" t="s">
        <v>176</v>
      </c>
      <c r="Q12" s="27" t="s">
        <v>177</v>
      </c>
      <c r="R12" s="28" t="s">
        <v>178</v>
      </c>
      <c r="S12" s="19" t="s">
        <v>179</v>
      </c>
      <c r="T12" t="s">
        <v>180</v>
      </c>
      <c r="U12" s="22">
        <v>2654</v>
      </c>
      <c r="V12" s="20" t="s">
        <v>181</v>
      </c>
      <c r="W12" s="21" t="s">
        <v>182</v>
      </c>
      <c r="X12" s="22">
        <v>1281</v>
      </c>
      <c r="Y12" t="s">
        <v>183</v>
      </c>
      <c r="Z12" t="s">
        <v>184</v>
      </c>
      <c r="AA12" s="22">
        <v>1297</v>
      </c>
    </row>
    <row r="13" spans="1:30" x14ac:dyDescent="0.25">
      <c r="A13" s="25" t="s">
        <v>93</v>
      </c>
      <c r="J13" s="23" t="s">
        <v>185</v>
      </c>
      <c r="K13" s="24" t="s">
        <v>186</v>
      </c>
      <c r="L13" s="22">
        <v>5434</v>
      </c>
      <c r="M13" s="23" t="s">
        <v>187</v>
      </c>
      <c r="N13" s="24" t="s">
        <v>188</v>
      </c>
      <c r="O13" s="22">
        <v>7403</v>
      </c>
      <c r="P13" s="20" t="s">
        <v>189</v>
      </c>
      <c r="Q13" s="21" t="s">
        <v>190</v>
      </c>
      <c r="R13" s="22">
        <v>14635</v>
      </c>
      <c r="S13" s="20" t="s">
        <v>191</v>
      </c>
      <c r="T13" s="21" t="s">
        <v>27</v>
      </c>
      <c r="U13" s="22">
        <v>5266</v>
      </c>
      <c r="V13" s="19" t="s">
        <v>192</v>
      </c>
      <c r="W13" t="s">
        <v>193</v>
      </c>
      <c r="X13" s="22">
        <v>2534</v>
      </c>
      <c r="Y13" s="21" t="s">
        <v>194</v>
      </c>
      <c r="Z13" s="21" t="s">
        <v>77</v>
      </c>
      <c r="AA13" s="22">
        <v>3225</v>
      </c>
    </row>
    <row r="14" spans="1:30" x14ac:dyDescent="0.25">
      <c r="J14" s="23" t="s">
        <v>195</v>
      </c>
      <c r="K14" s="24" t="s">
        <v>196</v>
      </c>
      <c r="L14" s="22">
        <v>14375</v>
      </c>
      <c r="M14" s="23" t="s">
        <v>197</v>
      </c>
      <c r="N14" s="24" t="s">
        <v>198</v>
      </c>
      <c r="O14" s="22">
        <v>8848</v>
      </c>
      <c r="P14" s="19" t="s">
        <v>199</v>
      </c>
      <c r="Q14" t="s">
        <v>200</v>
      </c>
      <c r="R14" s="22">
        <v>3579</v>
      </c>
      <c r="S14" s="19" t="s">
        <v>201</v>
      </c>
      <c r="T14" t="s">
        <v>202</v>
      </c>
      <c r="U14" s="22">
        <v>4496</v>
      </c>
      <c r="V14" s="19" t="s">
        <v>203</v>
      </c>
      <c r="W14" t="s">
        <v>204</v>
      </c>
      <c r="X14" s="22">
        <v>3624</v>
      </c>
      <c r="Y14" t="s">
        <v>205</v>
      </c>
      <c r="Z14" t="s">
        <v>206</v>
      </c>
      <c r="AA14" s="22">
        <v>657</v>
      </c>
    </row>
    <row r="15" spans="1:30" x14ac:dyDescent="0.25">
      <c r="J15" s="23" t="s">
        <v>207</v>
      </c>
      <c r="K15" s="24" t="s">
        <v>208</v>
      </c>
      <c r="L15" s="22">
        <v>11789</v>
      </c>
      <c r="M15" s="23" t="s">
        <v>209</v>
      </c>
      <c r="N15" s="24" t="s">
        <v>210</v>
      </c>
      <c r="O15" s="22">
        <v>16969</v>
      </c>
      <c r="P15" s="20" t="s">
        <v>211</v>
      </c>
      <c r="Q15" s="21" t="s">
        <v>212</v>
      </c>
      <c r="R15" s="22">
        <v>29619</v>
      </c>
      <c r="S15" s="19" t="s">
        <v>213</v>
      </c>
      <c r="T15" t="s">
        <v>214</v>
      </c>
      <c r="U15" s="22">
        <v>2708</v>
      </c>
      <c r="V15" s="19" t="s">
        <v>215</v>
      </c>
      <c r="W15" t="s">
        <v>216</v>
      </c>
      <c r="X15" s="22">
        <v>1759</v>
      </c>
      <c r="Y15" t="s">
        <v>217</v>
      </c>
      <c r="Z15" t="s">
        <v>218</v>
      </c>
      <c r="AA15" s="22">
        <v>1058</v>
      </c>
    </row>
    <row r="16" spans="1:30" x14ac:dyDescent="0.25">
      <c r="J16" s="23" t="s">
        <v>219</v>
      </c>
      <c r="K16" s="24" t="s">
        <v>220</v>
      </c>
      <c r="L16" s="22">
        <v>12159</v>
      </c>
      <c r="M16" s="25" t="s">
        <v>221</v>
      </c>
      <c r="N16" s="24"/>
      <c r="O16" s="24"/>
      <c r="P16" s="20" t="s">
        <v>222</v>
      </c>
      <c r="Q16" s="21" t="s">
        <v>223</v>
      </c>
      <c r="R16" s="22">
        <v>16411</v>
      </c>
      <c r="S16" s="19" t="s">
        <v>224</v>
      </c>
      <c r="T16" t="s">
        <v>225</v>
      </c>
      <c r="U16" s="22">
        <v>3095</v>
      </c>
      <c r="V16" s="20" t="s">
        <v>226</v>
      </c>
      <c r="W16" s="21" t="s">
        <v>109</v>
      </c>
      <c r="X16" s="22">
        <v>4525</v>
      </c>
      <c r="Y16" t="s">
        <v>227</v>
      </c>
      <c r="Z16" t="s">
        <v>228</v>
      </c>
      <c r="AA16" s="22">
        <v>554</v>
      </c>
    </row>
    <row r="17" spans="5:27" x14ac:dyDescent="0.25">
      <c r="E17" s="30" t="s">
        <v>229</v>
      </c>
      <c r="J17" s="23" t="s">
        <v>230</v>
      </c>
      <c r="K17" s="24" t="s">
        <v>231</v>
      </c>
      <c r="L17" s="22">
        <v>5987</v>
      </c>
      <c r="M17" s="24"/>
      <c r="N17" s="24"/>
      <c r="O17" s="24"/>
      <c r="P17" s="20" t="s">
        <v>232</v>
      </c>
      <c r="Q17" s="21" t="s">
        <v>29</v>
      </c>
      <c r="R17" s="22">
        <v>20450</v>
      </c>
      <c r="S17" s="20" t="s">
        <v>233</v>
      </c>
      <c r="T17" s="21" t="s">
        <v>35</v>
      </c>
      <c r="U17" s="22">
        <v>4510</v>
      </c>
      <c r="V17" s="19" t="s">
        <v>234</v>
      </c>
      <c r="W17" t="s">
        <v>235</v>
      </c>
      <c r="X17" s="22">
        <v>1688</v>
      </c>
      <c r="Y17" t="s">
        <v>236</v>
      </c>
      <c r="Z17" t="s">
        <v>237</v>
      </c>
      <c r="AA17" s="22">
        <v>2990</v>
      </c>
    </row>
    <row r="18" spans="5:27" x14ac:dyDescent="0.25">
      <c r="J18" s="23" t="s">
        <v>238</v>
      </c>
      <c r="K18" s="24" t="s">
        <v>239</v>
      </c>
      <c r="L18" s="22">
        <v>26705</v>
      </c>
      <c r="M18" s="24"/>
      <c r="N18" s="24"/>
      <c r="O18" s="24"/>
      <c r="P18" s="19" t="s">
        <v>240</v>
      </c>
      <c r="Q18" t="s">
        <v>241</v>
      </c>
      <c r="R18" s="22">
        <v>5646</v>
      </c>
      <c r="S18" s="20" t="s">
        <v>242</v>
      </c>
      <c r="T18" s="21" t="s">
        <v>177</v>
      </c>
      <c r="U18" s="22">
        <v>7346</v>
      </c>
      <c r="V18" s="20" t="s">
        <v>243</v>
      </c>
      <c r="W18" s="21" t="s">
        <v>145</v>
      </c>
      <c r="X18" s="22">
        <v>1470</v>
      </c>
      <c r="Y18" t="s">
        <v>244</v>
      </c>
      <c r="Z18" t="s">
        <v>245</v>
      </c>
      <c r="AA18" s="22">
        <v>1390</v>
      </c>
    </row>
    <row r="19" spans="5:27" x14ac:dyDescent="0.25">
      <c r="J19" s="23" t="s">
        <v>246</v>
      </c>
      <c r="K19" s="24" t="s">
        <v>247</v>
      </c>
      <c r="L19" s="22">
        <v>35483</v>
      </c>
      <c r="M19" s="24"/>
      <c r="N19" s="24"/>
      <c r="O19" s="24"/>
      <c r="P19" s="19" t="s">
        <v>248</v>
      </c>
      <c r="Q19" t="s">
        <v>249</v>
      </c>
      <c r="R19" s="22">
        <v>13220</v>
      </c>
      <c r="S19" s="25" t="s">
        <v>250</v>
      </c>
      <c r="V19" s="19" t="s">
        <v>251</v>
      </c>
      <c r="W19" t="s">
        <v>252</v>
      </c>
      <c r="X19" s="22">
        <v>1534</v>
      </c>
      <c r="Y19" t="s">
        <v>253</v>
      </c>
      <c r="Z19" t="s">
        <v>254</v>
      </c>
      <c r="AA19" s="22">
        <v>1162</v>
      </c>
    </row>
    <row r="20" spans="5:27" x14ac:dyDescent="0.25">
      <c r="J20" s="23" t="s">
        <v>255</v>
      </c>
      <c r="K20" s="24" t="s">
        <v>256</v>
      </c>
      <c r="L20" s="22">
        <v>8091</v>
      </c>
      <c r="M20" s="24"/>
      <c r="N20" s="24"/>
      <c r="O20" s="24"/>
      <c r="P20" s="19" t="s">
        <v>257</v>
      </c>
      <c r="Q20" t="s">
        <v>258</v>
      </c>
      <c r="R20" s="22">
        <v>19020</v>
      </c>
      <c r="V20" s="19" t="s">
        <v>259</v>
      </c>
      <c r="W20" t="s">
        <v>260</v>
      </c>
      <c r="X20" s="22">
        <v>1435</v>
      </c>
      <c r="Y20" t="s">
        <v>261</v>
      </c>
      <c r="Z20" t="s">
        <v>262</v>
      </c>
      <c r="AA20" s="22">
        <v>1276</v>
      </c>
    </row>
    <row r="21" spans="5:27" x14ac:dyDescent="0.25">
      <c r="J21" s="23" t="s">
        <v>263</v>
      </c>
      <c r="K21" s="24" t="s">
        <v>264</v>
      </c>
      <c r="L21" s="22">
        <v>15947</v>
      </c>
      <c r="M21" s="24"/>
      <c r="N21" s="24"/>
      <c r="O21" s="24"/>
      <c r="P21" s="19" t="s">
        <v>265</v>
      </c>
      <c r="Q21" t="s">
        <v>266</v>
      </c>
      <c r="R21" s="22">
        <v>17216</v>
      </c>
      <c r="V21" s="19" t="s">
        <v>267</v>
      </c>
      <c r="W21" t="s">
        <v>268</v>
      </c>
      <c r="X21" s="22">
        <v>1212</v>
      </c>
      <c r="Y21" t="s">
        <v>269</v>
      </c>
      <c r="Z21" t="s">
        <v>270</v>
      </c>
      <c r="AA21" s="22">
        <v>883</v>
      </c>
    </row>
    <row r="22" spans="5:27" x14ac:dyDescent="0.25">
      <c r="J22" s="23" t="s">
        <v>271</v>
      </c>
      <c r="K22" s="24" t="s">
        <v>272</v>
      </c>
      <c r="L22" s="22">
        <v>4974</v>
      </c>
      <c r="M22" s="24"/>
      <c r="N22" s="24"/>
      <c r="O22" s="24"/>
      <c r="P22" s="19" t="s">
        <v>273</v>
      </c>
      <c r="Q22" t="s">
        <v>274</v>
      </c>
      <c r="R22" s="22">
        <v>26515</v>
      </c>
      <c r="V22" s="19" t="s">
        <v>275</v>
      </c>
      <c r="W22" t="s">
        <v>276</v>
      </c>
      <c r="X22" s="22">
        <v>964</v>
      </c>
      <c r="Y22" t="s">
        <v>277</v>
      </c>
      <c r="Z22" t="s">
        <v>278</v>
      </c>
      <c r="AA22" s="22">
        <v>1125</v>
      </c>
    </row>
    <row r="23" spans="5:27" x14ac:dyDescent="0.25">
      <c r="J23" s="23" t="s">
        <v>279</v>
      </c>
      <c r="K23" s="24" t="s">
        <v>280</v>
      </c>
      <c r="L23" s="22">
        <v>22424</v>
      </c>
      <c r="M23" s="24"/>
      <c r="N23" s="24"/>
      <c r="O23" s="24"/>
      <c r="P23" s="20" t="s">
        <v>281</v>
      </c>
      <c r="Q23" s="21" t="s">
        <v>282</v>
      </c>
      <c r="R23" s="22">
        <v>35458</v>
      </c>
      <c r="V23" s="19" t="s">
        <v>283</v>
      </c>
      <c r="W23" t="s">
        <v>284</v>
      </c>
      <c r="X23" s="22">
        <v>959</v>
      </c>
      <c r="Y23" t="s">
        <v>285</v>
      </c>
      <c r="Z23" t="s">
        <v>286</v>
      </c>
      <c r="AA23" s="22">
        <v>1238</v>
      </c>
    </row>
    <row r="24" spans="5:27" x14ac:dyDescent="0.25">
      <c r="J24" s="23" t="s">
        <v>287</v>
      </c>
      <c r="K24" s="24" t="s">
        <v>143</v>
      </c>
      <c r="L24" s="22">
        <v>22095</v>
      </c>
      <c r="M24" s="24"/>
      <c r="N24" s="24"/>
      <c r="O24" s="24"/>
      <c r="P24" s="20" t="s">
        <v>288</v>
      </c>
      <c r="Q24" s="21" t="s">
        <v>289</v>
      </c>
      <c r="R24" s="22">
        <v>44114</v>
      </c>
      <c r="V24" s="19" t="s">
        <v>290</v>
      </c>
      <c r="W24" t="s">
        <v>291</v>
      </c>
      <c r="X24" s="22">
        <v>1418</v>
      </c>
      <c r="Y24" t="s">
        <v>292</v>
      </c>
      <c r="Z24" t="s">
        <v>293</v>
      </c>
      <c r="AA24" s="22">
        <v>1179</v>
      </c>
    </row>
    <row r="25" spans="5:27" x14ac:dyDescent="0.25">
      <c r="J25" s="23" t="s">
        <v>294</v>
      </c>
      <c r="K25" s="24" t="s">
        <v>295</v>
      </c>
      <c r="L25" s="22">
        <v>10730</v>
      </c>
      <c r="M25" s="24"/>
      <c r="N25" s="24"/>
      <c r="O25" s="24"/>
      <c r="P25" s="19" t="s">
        <v>296</v>
      </c>
      <c r="Q25" t="s">
        <v>297</v>
      </c>
      <c r="R25" s="22">
        <v>15479</v>
      </c>
      <c r="V25" s="19" t="s">
        <v>298</v>
      </c>
      <c r="W25" t="s">
        <v>299</v>
      </c>
      <c r="X25" s="22">
        <v>1453</v>
      </c>
      <c r="Y25" s="21" t="s">
        <v>300</v>
      </c>
      <c r="Z25" s="21" t="s">
        <v>301</v>
      </c>
      <c r="AA25" s="22">
        <v>4158</v>
      </c>
    </row>
    <row r="26" spans="5:27" x14ac:dyDescent="0.25">
      <c r="J26" s="23" t="s">
        <v>302</v>
      </c>
      <c r="K26" s="24" t="s">
        <v>303</v>
      </c>
      <c r="L26" s="22">
        <v>49819</v>
      </c>
      <c r="M26" s="24"/>
      <c r="N26" s="24"/>
      <c r="O26" s="24"/>
      <c r="P26" s="19" t="s">
        <v>304</v>
      </c>
      <c r="Q26" t="s">
        <v>305</v>
      </c>
      <c r="R26" s="22">
        <v>3064</v>
      </c>
      <c r="V26" s="19" t="s">
        <v>306</v>
      </c>
      <c r="W26" t="s">
        <v>307</v>
      </c>
      <c r="X26" s="22">
        <v>2015</v>
      </c>
      <c r="Y26" s="25" t="s">
        <v>250</v>
      </c>
    </row>
    <row r="27" spans="5:27" x14ac:dyDescent="0.25">
      <c r="J27" s="23" t="s">
        <v>308</v>
      </c>
      <c r="K27" s="24" t="s">
        <v>309</v>
      </c>
      <c r="L27" s="22">
        <v>27095</v>
      </c>
      <c r="M27" s="24"/>
      <c r="N27" s="24"/>
      <c r="O27" s="24"/>
      <c r="P27" s="19" t="s">
        <v>310</v>
      </c>
      <c r="Q27" t="s">
        <v>311</v>
      </c>
      <c r="R27" s="22">
        <v>16497</v>
      </c>
      <c r="V27" s="19" t="s">
        <v>312</v>
      </c>
      <c r="W27" t="s">
        <v>313</v>
      </c>
      <c r="X27" s="22">
        <v>3113</v>
      </c>
    </row>
    <row r="28" spans="5:27" x14ac:dyDescent="0.25">
      <c r="J28" s="23" t="s">
        <v>314</v>
      </c>
      <c r="K28" s="24" t="s">
        <v>315</v>
      </c>
      <c r="L28" s="22">
        <v>21327</v>
      </c>
      <c r="M28" s="24"/>
      <c r="N28" s="24"/>
      <c r="O28" s="24"/>
      <c r="P28" s="20" t="s">
        <v>316</v>
      </c>
      <c r="Q28" s="21" t="s">
        <v>317</v>
      </c>
      <c r="R28" s="22">
        <v>25542</v>
      </c>
      <c r="V28" s="19" t="s">
        <v>318</v>
      </c>
      <c r="W28" t="s">
        <v>319</v>
      </c>
      <c r="X28" s="22">
        <v>761</v>
      </c>
    </row>
    <row r="29" spans="5:27" x14ac:dyDescent="0.25">
      <c r="J29" s="23" t="s">
        <v>320</v>
      </c>
      <c r="K29" s="24" t="s">
        <v>321</v>
      </c>
      <c r="L29" s="22">
        <v>13573</v>
      </c>
      <c r="M29" s="24"/>
      <c r="N29" s="24"/>
      <c r="O29" s="24"/>
      <c r="P29" s="19" t="s">
        <v>322</v>
      </c>
      <c r="Q29" t="s">
        <v>323</v>
      </c>
      <c r="R29" s="22">
        <v>20030</v>
      </c>
      <c r="V29" s="19" t="s">
        <v>324</v>
      </c>
      <c r="W29" t="s">
        <v>325</v>
      </c>
      <c r="X29" s="22">
        <v>713</v>
      </c>
    </row>
    <row r="30" spans="5:27" x14ac:dyDescent="0.25">
      <c r="J30" s="23" t="s">
        <v>326</v>
      </c>
      <c r="K30" s="24" t="s">
        <v>327</v>
      </c>
      <c r="L30" s="22">
        <v>52388</v>
      </c>
      <c r="M30" s="24"/>
      <c r="N30" s="24"/>
      <c r="O30" s="24"/>
      <c r="P30" s="20" t="s">
        <v>328</v>
      </c>
      <c r="Q30" s="21" t="s">
        <v>329</v>
      </c>
      <c r="R30" s="22">
        <v>7900</v>
      </c>
      <c r="V30" s="19" t="s">
        <v>330</v>
      </c>
      <c r="W30" t="s">
        <v>331</v>
      </c>
      <c r="X30" s="22">
        <v>862</v>
      </c>
    </row>
    <row r="31" spans="5:27" x14ac:dyDescent="0.25">
      <c r="J31" s="23" t="s">
        <v>332</v>
      </c>
      <c r="K31" s="24" t="s">
        <v>333</v>
      </c>
      <c r="L31" s="22">
        <v>32485</v>
      </c>
      <c r="M31" s="24"/>
      <c r="N31" s="24"/>
      <c r="O31" s="24"/>
      <c r="P31" s="19" t="s">
        <v>334</v>
      </c>
      <c r="Q31" t="s">
        <v>335</v>
      </c>
      <c r="R31" s="22">
        <v>11984</v>
      </c>
      <c r="V31" s="19" t="s">
        <v>336</v>
      </c>
      <c r="W31" t="s">
        <v>337</v>
      </c>
      <c r="X31" s="22">
        <v>3071</v>
      </c>
    </row>
    <row r="32" spans="5:27" x14ac:dyDescent="0.25">
      <c r="J32" s="23" t="s">
        <v>338</v>
      </c>
      <c r="K32" s="24" t="s">
        <v>339</v>
      </c>
      <c r="L32" s="22">
        <v>16109</v>
      </c>
      <c r="M32" s="24"/>
      <c r="N32" s="24"/>
      <c r="O32" s="24"/>
      <c r="P32" s="19" t="s">
        <v>340</v>
      </c>
      <c r="Q32" t="s">
        <v>341</v>
      </c>
      <c r="R32" s="22">
        <v>8371</v>
      </c>
      <c r="V32" s="19" t="s">
        <v>342</v>
      </c>
      <c r="W32" t="s">
        <v>343</v>
      </c>
      <c r="X32" s="22">
        <v>1811</v>
      </c>
    </row>
    <row r="33" spans="10:24" x14ac:dyDescent="0.25">
      <c r="J33" s="23" t="s">
        <v>344</v>
      </c>
      <c r="K33" s="24" t="s">
        <v>345</v>
      </c>
      <c r="L33" s="22">
        <v>15397</v>
      </c>
      <c r="M33" s="24"/>
      <c r="N33" s="24"/>
      <c r="O33" s="24"/>
      <c r="P33" s="20" t="s">
        <v>346</v>
      </c>
      <c r="Q33" s="21" t="s">
        <v>347</v>
      </c>
      <c r="R33" s="22">
        <v>9083</v>
      </c>
      <c r="V33" s="19" t="s">
        <v>348</v>
      </c>
      <c r="W33" t="s">
        <v>349</v>
      </c>
      <c r="X33" s="22">
        <v>1565</v>
      </c>
    </row>
    <row r="34" spans="10:24" x14ac:dyDescent="0.25">
      <c r="J34" s="23" t="s">
        <v>350</v>
      </c>
      <c r="K34" s="24" t="s">
        <v>351</v>
      </c>
      <c r="L34" s="22">
        <v>12489</v>
      </c>
      <c r="M34" s="24"/>
      <c r="N34" s="24"/>
      <c r="O34" s="24"/>
      <c r="P34" s="19" t="s">
        <v>352</v>
      </c>
      <c r="Q34" t="s">
        <v>353</v>
      </c>
      <c r="R34" s="22">
        <v>6593</v>
      </c>
      <c r="V34" s="19" t="s">
        <v>354</v>
      </c>
      <c r="W34" t="s">
        <v>355</v>
      </c>
      <c r="X34" s="22">
        <v>556</v>
      </c>
    </row>
    <row r="35" spans="10:24" x14ac:dyDescent="0.25">
      <c r="J35" s="23" t="s">
        <v>356</v>
      </c>
      <c r="K35" s="24" t="s">
        <v>357</v>
      </c>
      <c r="L35" s="22">
        <v>27015</v>
      </c>
      <c r="M35" s="24"/>
      <c r="N35" s="24"/>
      <c r="O35" s="24"/>
      <c r="P35" s="19" t="s">
        <v>358</v>
      </c>
      <c r="Q35" t="s">
        <v>359</v>
      </c>
      <c r="R35" s="22">
        <v>2886</v>
      </c>
      <c r="V35" s="25" t="s">
        <v>360</v>
      </c>
    </row>
    <row r="36" spans="10:24" x14ac:dyDescent="0.25">
      <c r="J36" s="23" t="s">
        <v>361</v>
      </c>
      <c r="K36" s="24" t="s">
        <v>362</v>
      </c>
      <c r="L36" s="22">
        <v>10182</v>
      </c>
      <c r="M36" s="24"/>
      <c r="N36" s="24"/>
      <c r="O36" s="24"/>
      <c r="P36" s="20" t="s">
        <v>363</v>
      </c>
      <c r="Q36" s="21" t="s">
        <v>210</v>
      </c>
      <c r="R36" s="22">
        <v>11869</v>
      </c>
    </row>
    <row r="37" spans="10:24" x14ac:dyDescent="0.25">
      <c r="J37" s="23" t="s">
        <v>364</v>
      </c>
      <c r="K37" s="24" t="s">
        <v>365</v>
      </c>
      <c r="L37" s="22">
        <v>12371</v>
      </c>
      <c r="M37" s="24"/>
      <c r="N37" s="24"/>
      <c r="O37" s="24"/>
      <c r="P37" s="19" t="s">
        <v>366</v>
      </c>
      <c r="Q37" t="s">
        <v>367</v>
      </c>
      <c r="R37" s="22">
        <v>3347</v>
      </c>
    </row>
    <row r="38" spans="10:24" x14ac:dyDescent="0.25">
      <c r="J38" s="23" t="s">
        <v>368</v>
      </c>
      <c r="K38" s="24" t="s">
        <v>369</v>
      </c>
      <c r="L38" s="22">
        <v>19960</v>
      </c>
      <c r="M38" s="24"/>
      <c r="N38" s="24"/>
      <c r="O38" s="24"/>
      <c r="P38" s="19" t="s">
        <v>370</v>
      </c>
      <c r="Q38" t="s">
        <v>371</v>
      </c>
      <c r="R38" s="22">
        <v>8174</v>
      </c>
    </row>
    <row r="39" spans="10:24" x14ac:dyDescent="0.25">
      <c r="J39" s="23" t="s">
        <v>372</v>
      </c>
      <c r="K39" s="24" t="s">
        <v>373</v>
      </c>
      <c r="L39" s="22">
        <v>10410</v>
      </c>
      <c r="M39" s="24"/>
      <c r="N39" s="24"/>
      <c r="O39" s="24"/>
      <c r="P39" s="19" t="s">
        <v>374</v>
      </c>
      <c r="Q39" t="s">
        <v>375</v>
      </c>
      <c r="R39" s="22">
        <v>5160</v>
      </c>
    </row>
    <row r="40" spans="10:24" x14ac:dyDescent="0.25">
      <c r="J40" s="23" t="s">
        <v>376</v>
      </c>
      <c r="K40" s="24" t="s">
        <v>377</v>
      </c>
      <c r="L40" s="22">
        <v>15054</v>
      </c>
      <c r="M40" s="24"/>
      <c r="N40" s="24"/>
      <c r="O40" s="24"/>
      <c r="P40" s="19" t="s">
        <v>378</v>
      </c>
      <c r="Q40" t="s">
        <v>379</v>
      </c>
      <c r="R40" s="22">
        <v>18347</v>
      </c>
    </row>
    <row r="41" spans="10:24" x14ac:dyDescent="0.25">
      <c r="J41" s="23" t="s">
        <v>380</v>
      </c>
      <c r="K41" s="24" t="s">
        <v>301</v>
      </c>
      <c r="L41" s="22">
        <v>16742</v>
      </c>
      <c r="M41" s="24"/>
      <c r="N41" s="24"/>
      <c r="O41" s="24"/>
      <c r="P41" s="25" t="s">
        <v>250</v>
      </c>
    </row>
    <row r="42" spans="10:24" x14ac:dyDescent="0.25">
      <c r="J42" s="23" t="s">
        <v>381</v>
      </c>
      <c r="K42" s="24" t="s">
        <v>382</v>
      </c>
      <c r="L42" s="22">
        <v>4398</v>
      </c>
      <c r="M42" s="24"/>
      <c r="N42" s="24"/>
      <c r="O42" s="24"/>
      <c r="P42" s="24"/>
    </row>
    <row r="43" spans="10:24" x14ac:dyDescent="0.25">
      <c r="J43" s="23" t="s">
        <v>383</v>
      </c>
      <c r="K43" s="24" t="s">
        <v>384</v>
      </c>
      <c r="L43" s="22">
        <v>5285</v>
      </c>
      <c r="M43" s="24"/>
      <c r="N43" s="24"/>
      <c r="O43" s="24"/>
      <c r="P43" s="24"/>
    </row>
    <row r="44" spans="10:24" x14ac:dyDescent="0.25">
      <c r="J44" s="23" t="s">
        <v>385</v>
      </c>
      <c r="K44" s="24" t="s">
        <v>386</v>
      </c>
      <c r="L44" s="22">
        <v>2266</v>
      </c>
      <c r="M44" s="24"/>
      <c r="N44" s="24"/>
      <c r="O44" s="24"/>
      <c r="P44" s="24"/>
    </row>
    <row r="45" spans="10:24" x14ac:dyDescent="0.25">
      <c r="J45" s="23" t="s">
        <v>387</v>
      </c>
      <c r="K45" s="24" t="s">
        <v>388</v>
      </c>
      <c r="L45" s="22">
        <v>3020</v>
      </c>
      <c r="M45" s="24"/>
      <c r="N45" s="24"/>
      <c r="O45" s="24"/>
      <c r="P45" s="24"/>
    </row>
    <row r="46" spans="10:24" x14ac:dyDescent="0.25">
      <c r="J46" s="23" t="s">
        <v>389</v>
      </c>
      <c r="K46" s="24" t="s">
        <v>390</v>
      </c>
      <c r="L46" s="22">
        <v>3068</v>
      </c>
      <c r="M46" s="24"/>
      <c r="N46" s="24"/>
      <c r="O46" s="24"/>
      <c r="P46" s="24"/>
    </row>
    <row r="47" spans="10:24" x14ac:dyDescent="0.25">
      <c r="J47" s="23" t="s">
        <v>391</v>
      </c>
      <c r="K47" s="24" t="s">
        <v>392</v>
      </c>
      <c r="L47" s="22">
        <v>6068</v>
      </c>
      <c r="M47" s="24"/>
      <c r="N47" s="24"/>
      <c r="O47" s="24"/>
      <c r="P47" s="24"/>
    </row>
    <row r="48" spans="10:24" x14ac:dyDescent="0.25">
      <c r="J48" s="23" t="s">
        <v>393</v>
      </c>
      <c r="K48" s="24" t="s">
        <v>394</v>
      </c>
      <c r="L48" s="22">
        <v>1597</v>
      </c>
      <c r="M48" s="24"/>
      <c r="N48" s="24"/>
      <c r="O48" s="24"/>
      <c r="P48" s="24"/>
    </row>
    <row r="49" spans="10:16" x14ac:dyDescent="0.25">
      <c r="J49" s="23" t="s">
        <v>395</v>
      </c>
      <c r="K49" s="24" t="s">
        <v>396</v>
      </c>
      <c r="L49" s="22">
        <v>5940</v>
      </c>
      <c r="M49" s="24"/>
      <c r="N49" s="24"/>
      <c r="O49" s="24"/>
      <c r="P49" s="24"/>
    </row>
    <row r="50" spans="10:16" x14ac:dyDescent="0.25">
      <c r="J50" s="25" t="s">
        <v>221</v>
      </c>
    </row>
  </sheetData>
  <conditionalFormatting sqref="C3:C12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{7287EE0F-E8C3-4A89-A7C0-F8D04A857EA5}</x14:id>
        </ext>
      </extLst>
    </cfRule>
  </conditionalFormatting>
  <conditionalFormatting sqref="F3:F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{189B255A-902A-4134-B03B-50EDB158DE92}</x14:id>
        </ext>
      </extLst>
    </cfRule>
  </conditionalFormatting>
  <conditionalFormatting sqref="I3:I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{A2206008-A5AF-452F-9B29-66A676E21679}</x14:id>
        </ext>
      </extLst>
    </cfRule>
  </conditionalFormatting>
  <conditionalFormatting sqref="L3:L4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{86B0760E-880B-40B6-9FB5-94D3278F7CD8}</x14:id>
        </ext>
      </extLst>
    </cfRule>
  </conditionalFormatting>
  <conditionalFormatting sqref="O3:O15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{B5F74B2A-7414-4954-BC9A-1254C37B91CF}</x14:id>
        </ext>
      </extLst>
    </cfRule>
  </conditionalFormatting>
  <conditionalFormatting sqref="R3:R4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{E7276F37-BFEC-45B1-A868-2DA8675A7C09}</x14:id>
        </ext>
      </extLst>
    </cfRule>
  </conditionalFormatting>
  <conditionalFormatting sqref="U3:U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{8D7FABA0-67A4-449B-B84F-D35E9C564697}</x14:id>
        </ext>
      </extLst>
    </cfRule>
  </conditionalFormatting>
  <conditionalFormatting sqref="X3:X3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{18FB76C5-C2CE-4147-9BE6-CFB12BDB7961}</x14:id>
        </ext>
      </extLst>
    </cfRule>
  </conditionalFormatting>
  <conditionalFormatting sqref="AA3:AA2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{7019B9C7-89F9-42BE-A866-146A7B921237}</x14:id>
        </ext>
      </extLst>
    </cfRule>
  </conditionalFormatting>
  <conditionalFormatting sqref="AD3:AD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{8ABE2283-D235-4274-8B27-449078FBF177}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87EE0F-E8C3-4A89-A7C0-F8D04A857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C3:C12</xm:sqref>
        </x14:conditionalFormatting>
        <x14:conditionalFormatting xmlns:xm="http://schemas.microsoft.com/office/excel/2006/main">
          <x14:cfRule type="dataBar" id="{189B255A-902A-4134-B03B-50EDB158DE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F3:F6</xm:sqref>
        </x14:conditionalFormatting>
        <x14:conditionalFormatting xmlns:xm="http://schemas.microsoft.com/office/excel/2006/main">
          <x14:cfRule type="dataBar" id="{A2206008-A5AF-452F-9B29-66A676E21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I3:I10</xm:sqref>
        </x14:conditionalFormatting>
        <x14:conditionalFormatting xmlns:xm="http://schemas.microsoft.com/office/excel/2006/main">
          <x14:cfRule type="dataBar" id="{86B0760E-880B-40B6-9FB5-94D3278F7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L3:L49</xm:sqref>
        </x14:conditionalFormatting>
        <x14:conditionalFormatting xmlns:xm="http://schemas.microsoft.com/office/excel/2006/main">
          <x14:cfRule type="dataBar" id="{B5F74B2A-7414-4954-BC9A-1254C37B91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O3:O15</xm:sqref>
        </x14:conditionalFormatting>
        <x14:conditionalFormatting xmlns:xm="http://schemas.microsoft.com/office/excel/2006/main">
          <x14:cfRule type="dataBar" id="{E7276F37-BFEC-45B1-A868-2DA8675A7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R3:R40</xm:sqref>
        </x14:conditionalFormatting>
        <x14:conditionalFormatting xmlns:xm="http://schemas.microsoft.com/office/excel/2006/main">
          <x14:cfRule type="dataBar" id="{8D7FABA0-67A4-449B-B84F-D35E9C5646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U3:U18</xm:sqref>
        </x14:conditionalFormatting>
        <x14:conditionalFormatting xmlns:xm="http://schemas.microsoft.com/office/excel/2006/main">
          <x14:cfRule type="dataBar" id="{18FB76C5-C2CE-4147-9BE6-CFB12BDB7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X3:X34</xm:sqref>
        </x14:conditionalFormatting>
        <x14:conditionalFormatting xmlns:xm="http://schemas.microsoft.com/office/excel/2006/main">
          <x14:cfRule type="dataBar" id="{7019B9C7-89F9-42BE-A866-146A7B921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AA3:AA25</xm:sqref>
        </x14:conditionalFormatting>
        <x14:conditionalFormatting xmlns:xm="http://schemas.microsoft.com/office/excel/2006/main">
          <x14:cfRule type="dataBar" id="{8ABE2283-D235-4274-8B27-449078FBF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AD3:AD5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6B5F-D62A-4F90-A6EB-595D433E5EB8}">
  <dimension ref="A1:A2"/>
  <sheetViews>
    <sheetView tabSelected="1" workbookViewId="0">
      <selection activeCell="F6" sqref="F6"/>
    </sheetView>
  </sheetViews>
  <sheetFormatPr defaultRowHeight="15" x14ac:dyDescent="0.25"/>
  <sheetData>
    <row r="1" spans="1:1" x14ac:dyDescent="0.25">
      <c r="A1">
        <f>47+15</f>
        <v>62</v>
      </c>
    </row>
    <row r="2" spans="1:1" x14ac:dyDescent="0.25">
      <c r="A2">
        <f>A1/195</f>
        <v>0.31794871794871793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1E34825A29B4BB537D71D785877FB" ma:contentTypeVersion="19" ma:contentTypeDescription="Create a new document." ma:contentTypeScope="" ma:versionID="fc5494a187e97a86d2e95a854c8f7b07">
  <xsd:schema xmlns:xsd="http://www.w3.org/2001/XMLSchema" xmlns:xs="http://www.w3.org/2001/XMLSchema" xmlns:p="http://schemas.microsoft.com/office/2006/metadata/properties" xmlns:ns2="63fa7c18-36ab-4520-afbe-de6c3475eda0" xmlns:ns3="0165e95c-69ff-4d0c-97d3-337330c087db" targetNamespace="http://schemas.microsoft.com/office/2006/metadata/properties" ma:root="true" ma:fieldsID="a51e965e303d7b3ca4e23744e8025337" ns2:_="" ns3:_="">
    <xsd:import namespace="63fa7c18-36ab-4520-afbe-de6c3475eda0"/>
    <xsd:import namespace="0165e95c-69ff-4d0c-97d3-337330c087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a7c18-36ab-4520-afbe-de6c3475e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5e95c-69ff-4d0c-97d3-337330c087d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13bcbe9-a851-4c13-b45b-9425cba06b72}" ma:internalName="TaxCatchAll" ma:showField="CatchAllData" ma:web="0165e95c-69ff-4d0c-97d3-337330c08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65e95c-69ff-4d0c-97d3-337330c087db" xsi:nil="true"/>
    <lcf76f155ced4ddcb4097134ff3c332f xmlns="63fa7c18-36ab-4520-afbe-de6c3475ed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0B870C-6DF5-4423-9CA3-7BD43A548F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a7c18-36ab-4520-afbe-de6c3475eda0"/>
    <ds:schemaRef ds:uri="0165e95c-69ff-4d0c-97d3-337330c087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9DA819-A91B-45FE-BA79-470DFA5DF6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E0EC08-303B-4D29-B671-3C5BF4078560}">
  <ds:schemaRefs>
    <ds:schemaRef ds:uri="http://schemas.microsoft.com/office/2006/metadata/properties"/>
    <ds:schemaRef ds:uri="http://schemas.microsoft.com/office/infopath/2007/PartnerControls"/>
    <ds:schemaRef ds:uri="0165e95c-69ff-4d0c-97d3-337330c087db"/>
    <ds:schemaRef ds:uri="63fa7c18-36ab-4520-afbe-de6c3475ed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รวม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Karnrapee S</dc:creator>
  <cp:lastModifiedBy>Phathinan Thaithatkul</cp:lastModifiedBy>
  <dcterms:created xsi:type="dcterms:W3CDTF">2026-02-26T09:20:34Z</dcterms:created>
  <dcterms:modified xsi:type="dcterms:W3CDTF">2026-04-09T02:47:54Z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0x0101002891E34825A29B4BB537D71D785877FB</vt:lpwstr>
  </property>
  <property fmtid="{D5CDD505-2E9C-101B-9397-08002B2CF9AE}" pid="3" name="MediaServiceImageTags">
    <vt:lpwstr/>
  </property>
</Properties>
</file>